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f0b61608b74c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fea5d2636c334ea0"/>
    <x:sheet xmlns:r="http://schemas.openxmlformats.org/officeDocument/2006/relationships" name="公司信息" sheetId="2" r:id="Rf95dffbc825e443d"/>
    <x:sheet xmlns:r="http://schemas.openxmlformats.org/officeDocument/2006/relationships" name="人员信息" sheetId="3" r:id="R584b784d4fd543ea"/>
    <x:sheet xmlns:r="http://schemas.openxmlformats.org/officeDocument/2006/relationships" name="股东与股份" sheetId="4" r:id="R434e85de82be44b3"/>
    <x:sheet xmlns:r="http://schemas.openxmlformats.org/officeDocument/2006/relationships" name="输出设置" sheetId="5" r:id="Rdfd23efb02144ad9"/>
    <x:sheet xmlns:r="http://schemas.openxmlformats.org/officeDocument/2006/relationships" name="自动核对" sheetId="6" r:id="Rbf67133a7d9547f5"/>
    <x:sheet xmlns:r="http://schemas.openxmlformats.org/officeDocument/2006/relationships" name="字段映射" sheetId="7" r:id="Rfdae0db78cc344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334155"/>
      <x:name val="Carlito"/>
    </x:font>
    <x:font>
      <x:sz val="9"/>
      <x:color rgb="FF475569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D78"/>
      </x:patternFill>
    </x:fill>
    <x:fill>
      <x:patternFill patternType="solid">
        <x:fgColor rgb="FFF8FAFC"/>
      </x:patternFill>
    </x:fill>
    <x:fill>
      <x:patternFill patternType="solid">
        <x:fgColor rgb="FFEEF2F7"/>
      </x:patternFill>
    </x:fill>
    <x:fill>
      <x:patternFill patternType="solid">
        <x:fgColor rgb="FFFFF8D6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ec0b0fb2684422" /><Relationship Type="http://schemas.openxmlformats.org/officeDocument/2006/relationships/theme" Target="/xl/theme/theme1.xml" Id="Rf6ae56f3b66c4879" /><Relationship Type="http://schemas.openxmlformats.org/officeDocument/2006/relationships/sharedStrings" Target="/xl/sharedStrings.xml" Id="R8625ddba9e024ffb" /><Relationship Type="http://schemas.openxmlformats.org/officeDocument/2006/relationships/worksheet" Target="/xl/worksheets/sheet1.xml" Id="Rfea5d2636c334ea0" /><Relationship Type="http://schemas.openxmlformats.org/officeDocument/2006/relationships/worksheet" Target="/xl/worksheets/sheet2.xml" Id="Rf95dffbc825e443d" /><Relationship Type="http://schemas.openxmlformats.org/officeDocument/2006/relationships/worksheet" Target="/xl/worksheets/sheet3.xml" Id="R584b784d4fd543ea" /><Relationship Type="http://schemas.openxmlformats.org/officeDocument/2006/relationships/worksheet" Target="/xl/worksheets/sheet4.xml" Id="R434e85de82be44b3" /><Relationship Type="http://schemas.openxmlformats.org/officeDocument/2006/relationships/worksheet" Target="/xl/worksheets/sheet5.xml" Id="Rdfd23efb02144ad9" /><Relationship Type="http://schemas.openxmlformats.org/officeDocument/2006/relationships/worksheet" Target="/xl/worksheets/sheet6.xml" Id="Rbf67133a7d9547f5" /><Relationship Type="http://schemas.openxmlformats.org/officeDocument/2006/relationships/worksheet" Target="/xl/worksheets/sheet7.xml" Id="Rfdae0db78cc344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70" hidden="0" customWidth="1"/>
    <x:col min="3" max="3" width="55" hidden="0" customWidth="1"/>
    <x:col min="4" max="4" width="2.5" hidden="0" customWidth="1"/>
    <x:col min="5" max="5" width="2.5" hidden="0" customWidth="1"/>
    <x:col min="6" max="6" width="2.5" hidden="0" customWidth="1"/>
  </x:cols>
  <x:sheetData>
    <x:row r="1">
      <x:c r="A1" s="3" t="str">
        <x:v>新公司注册资料导入模板 v3.1 - 字段竖排版</x:v>
      </x:c>
      <x:c r="B1" s="3"/>
      <x:c r="C1" s="3"/>
      <x:c r="D1" s="3"/>
      <x:c r="E1" s="3"/>
      <x:c r="F1" s="3"/>
    </x:row>
    <x:row r="3">
      <x:c r="A3" s="6" t="str">
        <x:v>主题</x:v>
      </x:c>
      <x:c r="B3" s="6" t="str">
        <x:v>中文说明</x:v>
      </x:c>
      <x:c r="C3" s="6" t="str">
        <x:v>English notes</x:v>
      </x:c>
    </x:row>
    <x:row r="4">
      <x:c r="A4" s="9" t="str">
        <x:v>核心逻辑</x:v>
      </x:c>
      <x:c r="B4" s="9" t="str">
        <x:v>字段放左边竖排；公司/输出只有一个填写列；人员和股东按列横向展开。</x:v>
      </x:c>
      <x:c r="C4" s="9" t="str">
        <x:v>Fields are vertical; people/shareholders are one column per object.</x:v>
      </x:c>
    </x:row>
    <x:row r="5">
      <x:c r="A5" s="9" t="str">
        <x:v>空白规则</x:v>
      </x:c>
      <x:c r="B5" s="9" t="str">
        <x:v>空白=Auto。除公司名称、注册地址、注册日期、人员基本资料、股东股份外，大部分选项可以不点。</x:v>
      </x:c>
      <x:c r="C5" s="9" t="str">
        <x:v>Blank means Auto. Most option cells do not need to be clicked.</x:v>
      </x:c>
    </x:row>
    <x:row r="6">
      <x:c r="A6" s="9" t="str">
        <x:v>身份默认值</x:v>
      </x:c>
      <x:c r="B6" s="9" t="str">
        <x:v>人员身份字段支持 Auto/Yes/No：空白或 Auto 表示系统自动判断；Yes 表示强制是；No 表示明确不是。</x:v>
      </x:c>
      <x:c r="C6" s="9" t="str">
        <x:v>Role fields support Auto/Yes/No. Blank or Auto lets the system decide.</x:v>
      </x:c>
    </x:row>
    <x:row r="7">
      <x:c r="A7" s="9" t="str">
        <x:v>默认判断</x:v>
      </x:c>
      <x:c r="B7" s="9" t="str">
        <x:v>常用人员按后台默认身份自动判断；自然人股东按股东与股份表自动判断 is_shareholder。客户董事建议明确填 Yes。</x:v>
      </x:c>
      <x:c r="C7" s="9" t="str">
        <x:v>Common people use saved roles; shareholders are inferred from the shareholder sheet. Client director should usually be marked Yes.</x:v>
      </x:c>
    </x:row>
    <x:row r="8">
      <x:c r="A8" s="9" t="str">
        <x:v>冲突规则</x:v>
      </x:c>
      <x:c r="B8" s="9" t="str">
        <x:v>如果后台/股东表认为应当是，但你填 No，系统会尊重 No，当作明确排除。</x:v>
      </x:c>
      <x:c r="C8" s="9" t="str">
        <x:v>If you enter No, the system treats it as an explicit override.</x:v>
      </x:c>
    </x:row>
    <x:row r="9">
      <x:c r="A9" s="9" t="str">
        <x:v>签字字段</x:v>
      </x:c>
      <x:c r="B9" s="9" t="str">
        <x:v>人员里的“是否需要签字”一般保持 Auto，由系统按文件类型和人员身份判断。秘书协议/挂名董事协议的客户方签字人默认股东1；如需指定，填写公司信息页 client_signatory_person_id。</x:v>
      </x:c>
      <x:c r="C9" s="9" t="str">
        <x:v>Keep signing_required as Auto in most cases. Statutory signing follows roles/shareholder rows. Client-side agreements default to shareholder 1 unless client_signatory_person_id is set.</x:v>
      </x:c>
    </x:row>
    <x:row r="10">
      <x:c r="A10" s="9" t="str">
        <x:v>股份核对</x:v>
      </x:c>
      <x:c r="B10" s="9" t="str">
        <x:v>公司信息页的总股数/已发行股本/实缴股本通常不用填，系统会优先合计“股东与股份”页；自动核对页只用于人工复核。</x:v>
      </x:c>
      <x:c r="C10" s="9" t="str">
        <x:v>Share count, issued share capital and paid-up capital are calculated from the shareholder sheet. The check sheet is for review.</x:v>
      </x:c>
    </x:row>
    <x:row r="11">
      <x:c r="A11" s="9" t="str">
        <x:v>为什么这样做</x:v>
      </x:c>
      <x:c r="B11" s="9" t="str">
        <x:v>它和“每人一行”的数据库表是同一个逻辑，只是转置后更适合人工检查。</x:v>
      </x:c>
      <x:c r="C11" s="9" t="str">
        <x:v>It is the transposed version of one-row-per-person data.</x:v>
      </x:c>
    </x:row>
    <x:row r="12">
      <x:c r="A12" s="9" t="str">
        <x:v>AI 使用</x:v>
      </x:c>
      <x:c r="B12" s="9" t="str">
        <x:v>可以把 BizFile、护照、旧注册表交给 AI，让 AI 按本模板填入。不要改 sheet 名称和 field_key。</x:v>
      </x:c>
      <x:c r="C12" s="9" t="str">
        <x:v>AI can fill this template. Do not rename sheets or field_key values.</x:v>
      </x:c>
    </x:row>
    <x:row r="13">
      <x:c r="A13" s="9" t="str">
        <x:v>黄色格</x:v>
      </x:c>
      <x:c r="B13" s="9" t="str">
        <x:v>黄色区域是填写区。灰色 field_key 给系统读取，也方便 AI 对齐字段。</x:v>
      </x:c>
      <x:c r="C13" s="9" t="str">
        <x:v>Yellow cells are inputs. Grey field_key cells are for the system.</x:v>
      </x:c>
    </x:row>
    <x:row r="14">
      <x:c r="A14" s="9" t="str">
        <x:v>常用人员</x:v>
      </x:c>
      <x:c r="B14" s="9" t="str">
        <x:v>秘书/挂名董事可填 source=common，再填 common_person_name，网站会从后台常用人员库补资料。</x:v>
      </x:c>
      <x:c r="C14" s="9" t="str">
        <x:v>Use source=common for saved nominee directors/secretaries.</x:v>
      </x:c>
    </x:row>
    <x:row r="15">
      <x:c r="A15" s="9" t="str">
        <x:v>默认值</x:v>
      </x:c>
      <x:c r="B15" s="9" t="str">
        <x:v>FYE、办公时间、证书编号、总股数、实缴金额等可由系统默认或计算。</x:v>
      </x:c>
      <x:c r="C15" s="9" t="str">
        <x:v>FYE, office hours, certificate numbers and totals can be defaulted/calculated.</x:v>
      </x:c>
    </x:row>
    <x:row r="16">
      <x:c r="A16" s="9" t="str">
        <x:v>日期格式</x:v>
      </x:c>
      <x:c r="B16" s="9" t="str">
        <x:v>表格建议用新加坡常用 DD/MM/YYYY；系统仍兼容 YYYY-MM-DD。正式文书会自动转成 1st JUNE 2026 这类日月年英文表述。</x:v>
      </x:c>
      <x:c r="C16" s="9" t="str">
        <x:v>Use DD/MM/YYYY in the sheet. The system also accepts YYYY-MM-DD and renders formal documents as day-month-year wording.</x:v>
      </x:c>
    </x:row>
    <x:row r="17">
      <x:c r="A17" s="9" t="str">
        <x:v>P1 日期规则</x:v>
      </x:c>
      <x:c r="B17" s="9" t="str">
        <x:v>P1 全套文件统一使用注册日期 incorporation_date。即使填写 document_date、signature_date 或 appointment_date，系统也会按注册日期生成。</x:v>
      </x:c>
      <x:c r="C17" s="9" t="str">
        <x:v>All P1 documents use incorporation_date. document_date, signature_date and appointment_date are ignored for P1.</x:v>
      </x:c>
    </x:row>
    <x:row r="18">
      <x:c r="A18" s="9" t="str">
        <x:v>复核重点</x:v>
      </x:c>
      <x:c r="B18" s="9" t="str">
        <x:v>上传后检查董事、秘书、股东股份合计、RORC 控制人、Form 24 和股权证书签字逻辑。</x:v>
      </x:c>
      <x:c r="C18" s="9" t="str">
        <x:v>Review directors, secretary, share totals, RORC, Form 24 and certificate signing.</x:v>
      </x:c>
    </x:row>
    <x:row r="19">
      <x:c r="A19" s="9" t="str">
        <x:v>兼容性</x:v>
      </x:c>
      <x:c r="B19" s="9" t="str">
        <x:v>网站仍支持旧 v2 横排模板；v3 是推荐主入口。</x:v>
      </x:c>
      <x:c r="C19" s="9" t="str">
        <x:v>The website still supports v2. v3 is the recommended entry.</x:v>
      </x:c>
    </x:row>
    <x:row r="20">
      <x:c r="A20" s="9" t="str">
        <x:v>注意</x:v>
      </x:c>
      <x:c r="B20" s="9" t="str">
        <x:v>不要删除 field_key 行列；不要合并填写区；正式英文姓名字段不要填中文名，也不要加 Director/Shareholder/客户董事等身份说明。</x:v>
      </x:c>
      <x:c r="C20" s="9" t="str">
        <x:v>Do not delete field_key rows/columns, merge input cells, or add role descriptions to legal names.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7.5" hidden="0" customWidth="1"/>
    <x:col min="3" max="3" width="26.25" hidden="0" customWidth="1"/>
    <x:col min="4" max="4" width="42.5" hidden="0" customWidth="1"/>
    <x:col min="5" max="5" width="13.75" hidden="0" customWidth="1"/>
    <x:col min="6" max="6" width="65" hidden="0" customWidth="1"/>
  </x:cols>
  <x:sheetData>
    <x:row r="1">
      <x:c r="A1" s="3" t="str">
        <x:v>公司信息 Company Information</x:v>
      </x:c>
      <x:c r="B1" s="3"/>
      <x:c r="C1" s="3"/>
      <x:c r="D1" s="3"/>
      <x:c r="E1" s="3"/>
      <x:c r="F1" s="3"/>
    </x:row>
    <x:row r="3">
      <x:c r="A3" s="6" t="str">
        <x:v>项目</x:v>
      </x:c>
      <x:c r="B3" s="6" t="str">
        <x:v>English</x:v>
      </x:c>
      <x:c r="C3" s="6" t="str">
        <x:v>field_key</x:v>
      </x:c>
      <x:c r="D3" s="6" t="str">
        <x:v>填写内容 / Value</x:v>
      </x:c>
      <x:c r="E3" s="6" t="str">
        <x:v>必填</x:v>
      </x:c>
      <x:c r="F3" s="6" t="str">
        <x:v>说明</x:v>
      </x:c>
    </x:row>
    <x:row r="4">
      <x:c r="A4" t="str">
        <x:v>公司名称</x:v>
      </x:c>
      <x:c r="B4" t="str">
        <x:v>Company name</x:v>
      </x:c>
      <x:c r="C4" s="12" t="str">
        <x:v>company_name</x:v>
      </x:c>
      <x:c r="D4" s="15" t="str"/>
      <x:c r="E4" t="str">
        <x:v>Yes</x:v>
      </x:c>
      <x:c r="F4" s="9" t="str">
        <x:v>英文法定名称。</x:v>
      </x:c>
    </x:row>
    <x:row r="5">
      <x:c r="A5" t="str">
        <x:v>业务单编号</x:v>
      </x:c>
      <x:c r="B5" t="str">
        <x:v>Business order ID</x:v>
      </x:c>
      <x:c r="C5" s="12" t="str">
        <x:v>business_order_id</x:v>
      </x:c>
      <x:c r="D5" s="15" t="str"/>
      <x:c r="E5" t="str">
        <x:v>Optional</x:v>
      </x:c>
      <x:c r="F5" s="9" t="str">
        <x:v>可空；以后对接客户系统/电子签名时使用。</x:v>
      </x:c>
    </x:row>
    <x:row r="6">
      <x:c r="A6" t="str">
        <x:v>数据来源</x:v>
      </x:c>
      <x:c r="B6" t="str">
        <x:v>Source type</x:v>
      </x:c>
      <x:c r="C6" s="12" t="str">
        <x:v>source_type</x:v>
      </x:c>
      <x:c r="D6" s="15" t="str">
        <x:v>Excel</x:v>
      </x:c>
      <x:c r="E6" t="str">
        <x:v>Optional</x:v>
      </x:c>
      <x:c r="F6" s="9" t="str">
        <x:v>Excel / BizFile / AI / Manual。</x:v>
      </x:c>
    </x:row>
    <x:row r="7">
      <x:c r="A7" t="str">
        <x:v>来源文件编号</x:v>
      </x:c>
      <x:c r="B7" t="str">
        <x:v>Source file ID</x:v>
      </x:c>
      <x:c r="C7" s="12" t="str">
        <x:v>source_file_id</x:v>
      </x:c>
      <x:c r="D7" s="15" t="str"/>
      <x:c r="E7" t="str">
        <x:v>Optional</x:v>
      </x:c>
      <x:c r="F7" s="9" t="str">
        <x:v>可填 BizFile/护照/旧表等来源文件编号或备注。</x:v>
      </x:c>
    </x:row>
    <x:row r="8">
      <x:c r="A8" t="str">
        <x:v>注册地址</x:v>
      </x:c>
      <x:c r="B8" t="str">
        <x:v>Registered office address</x:v>
      </x:c>
      <x:c r="C8" s="12" t="str">
        <x:v>registered_office_address</x:v>
      </x:c>
      <x:c r="D8" s="15" t="str"/>
      <x:c r="E8" t="str">
        <x:v>Yes</x:v>
      </x:c>
      <x:c r="F8" s="9" t="str">
        <x:v>英文地址；可用默认地址或客户地址。</x:v>
      </x:c>
    </x:row>
    <x:row r="9">
      <x:c r="A9" t="str">
        <x:v>注册/文件日期</x:v>
      </x:c>
      <x:c r="B9" t="str">
        <x:v>Incorporation / document date</x:v>
      </x:c>
      <x:c r="C9" s="12" t="str">
        <x:v>incorporation_date</x:v>
      </x:c>
      <x:c r="D9" s="15" t="str"/>
      <x:c r="E9" t="str">
        <x:v>Recommended</x:v>
      </x:c>
      <x:c r="F9" s="9" t="str">
        <x:v>DD/MM/YYYY；FYE 可由系统自动计算。</x:v>
      </x:c>
    </x:row>
    <x:row r="10">
      <x:c r="A10" t="str">
        <x:v>首个财政年结日覆盖</x:v>
      </x:c>
      <x:c r="B10" t="str">
        <x:v>First FYE override</x:v>
      </x:c>
      <x:c r="C10" s="12" t="str">
        <x:v>first_fye</x:v>
      </x:c>
      <x:c r="D10" s="15" t="str"/>
      <x:c r="E10" t="str">
        <x:v>Optional</x:v>
      </x:c>
      <x:c r="F10" s="9" t="str">
        <x:v>通常留空；特殊首个财年才填 DD/MM/YYYY。</x:v>
      </x:c>
    </x:row>
    <x:row r="11">
      <x:c r="A11" t="str">
        <x:v>财政年度月份/年结日覆盖</x:v>
      </x:c>
      <x:c r="B11" t="str">
        <x:v>FYE override</x:v>
      </x:c>
      <x:c r="C11" s="12" t="str">
        <x:v>fye</x:v>
      </x:c>
      <x:c r="D11" s="15" t="str"/>
      <x:c r="E11" t="str">
        <x:v>Optional</x:v>
      </x:c>
      <x:c r="F11" s="9" t="str">
        <x:v>通常留空；特殊 FYE 才填月份或 DD/MM/YYYY。</x:v>
      </x:c>
    </x:row>
    <x:row r="12">
      <x:c r="A12" t="str">
        <x:v>主要业务描述</x:v>
      </x:c>
      <x:c r="B12" t="str">
        <x:v>Primary business activity</x:v>
      </x:c>
      <x:c r="C12" s="12" t="str">
        <x:v>business_activity_1</x:v>
      </x:c>
      <x:c r="D12" s="15" t="str"/>
      <x:c r="E12" t="str">
        <x:v>Recommended</x:v>
      </x:c>
      <x:c r="F12" s="9" t="str">
        <x:v>建议填写英文描述。</x:v>
      </x:c>
    </x:row>
    <x:row r="13">
      <x:c r="A13" t="str">
        <x:v>主要 SSIC Code</x:v>
      </x:c>
      <x:c r="B13" t="str">
        <x:v>Primary SSIC code</x:v>
      </x:c>
      <x:c r="C13" s="12" t="str">
        <x:v>ssic_code_1</x:v>
      </x:c>
      <x:c r="D13" s="15" t="str"/>
      <x:c r="E13" t="str">
        <x:v>Recommended</x:v>
      </x:c>
      <x:c r="F13" s="9" t="str">
        <x:v>不知道可留空，复核时补。</x:v>
      </x:c>
    </x:row>
    <x:row r="14">
      <x:c r="A14" t="str">
        <x:v>第二业务描述</x:v>
      </x:c>
      <x:c r="B14" t="str">
        <x:v>Secondary business activity</x:v>
      </x:c>
      <x:c r="C14" s="12" t="str">
        <x:v>business_activity_2</x:v>
      </x:c>
      <x:c r="D14" s="15" t="str"/>
      <x:c r="E14" t="str">
        <x:v>Optional</x:v>
      </x:c>
      <x:c r="F14" s="9" t="str"/>
    </x:row>
    <x:row r="15">
      <x:c r="A15" t="str">
        <x:v>第二 SSIC Code</x:v>
      </x:c>
      <x:c r="B15" t="str">
        <x:v>Secondary SSIC code</x:v>
      </x:c>
      <x:c r="C15" s="12" t="str">
        <x:v>ssic_code_2</x:v>
      </x:c>
      <x:c r="D15" s="15" t="str"/>
      <x:c r="E15" t="str">
        <x:v>Optional</x:v>
      </x:c>
      <x:c r="F15" s="9" t="str"/>
    </x:row>
    <x:row r="16">
      <x:c r="A16" t="str">
        <x:v>股本币种</x:v>
      </x:c>
      <x:c r="B16" t="str">
        <x:v>Share currency</x:v>
      </x:c>
      <x:c r="C16" s="12" t="str">
        <x:v>currency</x:v>
      </x:c>
      <x:c r="D16" s="15" t="str">
        <x:v>SGD</x:v>
      </x:c>
      <x:c r="E16" t="str">
        <x:v>Recommended</x:v>
      </x:c>
      <x:c r="F16" s="9" t="str">
        <x:v>留空默认 SGD。</x:v>
      </x:c>
    </x:row>
    <x:row r="17">
      <x:c r="A17" t="str">
        <x:v>默认股份类别</x:v>
      </x:c>
      <x:c r="B17" t="str">
        <x:v>Default share class</x:v>
      </x:c>
      <x:c r="C17" s="12" t="str">
        <x:v>share_class_default</x:v>
      </x:c>
      <x:c r="D17" s="15" t="str">
        <x:v>Ordinary</x:v>
      </x:c>
      <x:c r="E17" t="str">
        <x:v>Recommended</x:v>
      </x:c>
      <x:c r="F17" s="9" t="str">
        <x:v>留空默认 Ordinary。</x:v>
      </x:c>
    </x:row>
    <x:row r="18">
      <x:c r="A18" t="str">
        <x:v>已发行股本备用</x:v>
      </x:c>
      <x:c r="B18" t="str">
        <x:v>Issued share capital fallback</x:v>
      </x:c>
      <x:c r="C18" s="12" t="str">
        <x:v>issued_share_capital</x:v>
      </x:c>
      <x:c r="D18" s="15" t="str"/>
      <x:c r="E18" t="str">
        <x:v>通常留空</x:v>
      </x:c>
      <x:c r="F18" s="9" t="str">
        <x:v>系统优先自动合计“股东与股份”页；这里只在特殊覆盖/核对时填写。</x:v>
      </x:c>
    </x:row>
    <x:row r="19">
      <x:c r="A19" t="str">
        <x:v>已发行股数备用</x:v>
      </x:c>
      <x:c r="B19" t="str">
        <x:v>Issued shares fallback</x:v>
      </x:c>
      <x:c r="C19" s="12" t="str">
        <x:v>total_issued_shares</x:v>
      </x:c>
      <x:c r="D19" s="15" t="str"/>
      <x:c r="E19" t="str">
        <x:v>通常留空</x:v>
      </x:c>
      <x:c r="F19" s="9" t="str">
        <x:v>系统优先自动合计“股东与股份”页；这里只在特殊覆盖/核对时填写。</x:v>
      </x:c>
    </x:row>
    <x:row r="20">
      <x:c r="A20" t="str">
        <x:v>实缴股本备用</x:v>
      </x:c>
      <x:c r="B20" t="str">
        <x:v>Paid-up share capital fallback</x:v>
      </x:c>
      <x:c r="C20" s="12" t="str">
        <x:v>paid_up_capital</x:v>
      </x:c>
      <x:c r="D20" s="15" t="str"/>
      <x:c r="E20" t="str">
        <x:v>通常留空</x:v>
      </x:c>
      <x:c r="F20" s="9" t="str">
        <x:v>系统优先自动合计“股东与股份”页；这里只在特殊覆盖/核对时填写。</x:v>
      </x:c>
    </x:row>
    <x:row r="21">
      <x:c r="A21" t="str">
        <x:v>办公时间</x:v>
      </x:c>
      <x:c r="B21" t="str">
        <x:v>Office hours</x:v>
      </x:c>
      <x:c r="C21" s="12" t="str">
        <x:v>office_hours</x:v>
      </x:c>
      <x:c r="D21" s="15" t="str"/>
      <x:c r="E21" t="str">
        <x:v>Optional</x:v>
      </x:c>
      <x:c r="F21" s="9" t="str">
        <x:v>留空默认 Monday to Friday, 9.00 a.m. to 5.00 p.m.</x:v>
      </x:c>
    </x:row>
    <x:row r="22">
      <x:c r="A22" t="str">
        <x:v>签字/文件日期</x:v>
      </x:c>
      <x:c r="B22" t="str">
        <x:v>Document date</x:v>
      </x:c>
      <x:c r="C22" s="12" t="str">
        <x:v>document_date</x:v>
      </x:c>
      <x:c r="D22" s="15" t="str"/>
      <x:c r="E22" t="str">
        <x:v>System</x:v>
      </x:c>
      <x:c r="F22" s="9" t="str">
        <x:v>P1 全套文件统一使用注册日期；这里即使填写也会被注册日期覆盖。</x:v>
      </x:c>
    </x:row>
    <x:row r="23">
      <x:c r="A23" t="str">
        <x:v>UEN/注册号</x:v>
      </x:c>
      <x:c r="B23" t="str">
        <x:v>UEN / Registration number</x:v>
      </x:c>
      <x:c r="C23" s="12" t="str">
        <x:v>uen</x:v>
      </x:c>
      <x:c r="D23" s="15" t="str"/>
      <x:c r="E23" t="str">
        <x:v>Optional</x:v>
      </x:c>
      <x:c r="F23" s="9" t="str">
        <x:v>注册前通常留空。</x:v>
      </x:c>
    </x:row>
    <x:row r="24">
      <x:c r="A24" t="str">
        <x:v>股东名册保存地址</x:v>
      </x:c>
      <x:c r="B24" t="str">
        <x:v>Register location</x:v>
      </x:c>
      <x:c r="C24" s="12" t="str">
        <x:v>register_location</x:v>
      </x:c>
      <x:c r="D24" s="15" t="str"/>
      <x:c r="E24" t="str">
        <x:v>Optional</x:v>
      </x:c>
      <x:c r="F24" s="9" t="str">
        <x:v>留空默认注册地址。</x:v>
      </x:c>
    </x:row>
    <x:row r="25">
      <x:c r="A25" t="str">
        <x:v>联系人</x:v>
      </x:c>
      <x:c r="B25" t="str">
        <x:v>Contact person_id</x:v>
      </x:c>
      <x:c r="C25" s="12" t="str">
        <x:v>contact_person_id</x:v>
      </x:c>
      <x:c r="D25" s="15" t="str"/>
      <x:c r="E25" t="str">
        <x:v>Optional</x:v>
      </x:c>
      <x:c r="F25" s="9" t="str">
        <x:v>可空；代理注册/后续客户管理使用，引用人员信息里的 person_id。</x:v>
      </x:c>
    </x:row>
    <x:row r="26">
      <x:c r="A26" t="str">
        <x:v>代理/代办人</x:v>
      </x:c>
      <x:c r="B26" t="str">
        <x:v>Agent person_id</x:v>
      </x:c>
      <x:c r="C26" s="12" t="str">
        <x:v>agent_person_id</x:v>
      </x:c>
      <x:c r="D26" s="15" t="str"/>
      <x:c r="E26" t="str">
        <x:v>Optional</x:v>
      </x:c>
      <x:c r="F26" s="9" t="str">
        <x:v>可空；联系人不是董事/股东时使用。</x:v>
      </x:c>
    </x:row>
    <x:row r="27">
      <x:c r="A27" t="str">
        <x:v>客户方签字人</x:v>
      </x:c>
      <x:c r="B27" t="str">
        <x:v>Client signer person_id</x:v>
      </x:c>
      <x:c r="C27" s="12" t="str">
        <x:v>client_signatory_person_id</x:v>
      </x:c>
      <x:c r="D27" s="15" t="str"/>
      <x:c r="E27" t="str">
        <x:v>Optional</x:v>
      </x:c>
      <x:c r="F27" s="9" t="str">
        <x:v>填写人员编号时优先作为服务协议/挂名董事协议的客户方签字人；留空默认股东1。</x:v>
      </x:c>
    </x:row>
    <x:row r="28">
      <x:c r="A28" t="str">
        <x:v>授权代表</x:v>
      </x:c>
      <x:c r="B28" t="str">
        <x:v>Authorised rep person_id</x:v>
      </x:c>
      <x:c r="C28" s="12" t="str">
        <x:v>authorized_representative_person_id</x:v>
      </x:c>
      <x:c r="D28" s="15" t="str"/>
      <x:c r="E28" t="str">
        <x:v>Optional</x:v>
      </x:c>
      <x:c r="F28" s="9" t="str">
        <x:v>可空；企业股东或代理场景使用。</x:v>
      </x:c>
    </x:row>
    <x:row r="29">
      <x:c r="A29" t="str">
        <x:v>任务类型</x:v>
      </x:c>
      <x:c r="B29" t="str">
        <x:v>Task type</x:v>
      </x:c>
      <x:c r="C29" s="12" t="str">
        <x:v>task_type</x:v>
      </x:c>
      <x:c r="D29" s="15" t="str">
        <x:v>incorporation</x:v>
      </x:c>
      <x:c r="E29" t="str">
        <x:v>System</x:v>
      </x:c>
      <x:c r="F29" s="9" t="str">
        <x:v>固定值，不要修改。</x:v>
      </x:c>
    </x:row>
    <x:row r="30">
      <x:c r="A30" t="str">
        <x:v>内部备注</x:v>
      </x:c>
      <x:c r="B30" t="str">
        <x:v>Internal remarks</x:v>
      </x:c>
      <x:c r="C30" s="12" t="str">
        <x:v>remarks</x:v>
      </x:c>
      <x:c r="D30" s="15" t="str"/>
      <x:c r="E30" t="str">
        <x:v>Optional</x:v>
      </x:c>
      <x:c r="F30" s="9" t="str">
        <x:v>不进入正式文件。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6.25" hidden="0" customWidth="1"/>
    <x:col min="3" max="3" width="25" hidden="0" customWidth="1"/>
    <x:col min="4" max="4" width="37.5" hidden="0" customWidth="1"/>
    <x:col min="5" max="5" width="23.75" hidden="0" customWidth="1"/>
    <x:col min="6" max="6" width="23.75" hidden="0" customWidth="1"/>
    <x:col min="7" max="7" width="23.75" hidden="0" customWidth="1"/>
    <x:col min="8" max="8" width="23.75" hidden="0" customWidth="1"/>
    <x:col min="9" max="9" width="23.75" hidden="0" customWidth="1"/>
    <x:col min="10" max="10" width="23.75" hidden="0" customWidth="1"/>
    <x:col min="11" max="11" width="23.75" hidden="0" customWidth="1"/>
    <x:col min="12" max="12" width="23.75" hidden="0" customWidth="1"/>
    <x:col min="13" max="13" width="23.75" hidden="0" customWidth="1"/>
    <x:col min="14" max="14" width="23.75" hidden="0" customWidth="1"/>
  </x:cols>
  <x:sheetData>
    <x:row r="1">
      <x:c r="A1" s="3" t="str">
        <x:v>人员信息 People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3">
      <x:c r="A3" s="6" t="str">
        <x:v>项目</x:v>
      </x:c>
      <x:c r="B3" s="6" t="str">
        <x:v>English</x:v>
      </x:c>
      <x:c r="C3" s="6" t="str">
        <x:v>field_key</x:v>
      </x:c>
      <x:c r="D3" s="6" t="str">
        <x:v>说明</x:v>
      </x:c>
      <x:c r="E3" s="6" t="str">
        <x:v>人员1</x:v>
      </x:c>
      <x:c r="F3" s="6" t="str">
        <x:v>人员2</x:v>
      </x:c>
      <x:c r="G3" s="6" t="str">
        <x:v>人员3</x:v>
      </x:c>
      <x:c r="H3" s="6" t="str">
        <x:v>人员4</x:v>
      </x:c>
      <x:c r="I3" s="6" t="str">
        <x:v>人员5</x:v>
      </x:c>
      <x:c r="J3" s="6" t="str">
        <x:v>人员6</x:v>
      </x:c>
      <x:c r="K3" s="6" t="str">
        <x:v>人员7</x:v>
      </x:c>
      <x:c r="L3" s="6" t="str">
        <x:v>人员8</x:v>
      </x:c>
      <x:c r="M3" s="6" t="str">
        <x:v>人员9</x:v>
      </x:c>
      <x:c r="N3" s="6" t="str">
        <x:v>人员10</x:v>
      </x:c>
    </x:row>
    <x:row r="4">
      <x:c r="A4" t="str">
        <x:v>人员编号</x:v>
      </x:c>
      <x:c r="B4" t="str">
        <x:v>Person ID</x:v>
      </x:c>
      <x:c r="C4" s="12" t="str">
        <x:v>person_id</x:v>
      </x:c>
      <x:c r="D4" s="9" t="str">
        <x:v>建议 P001/P002；给联系人、代理人、签字人引用；不引用时可空</x:v>
      </x:c>
      <x:c r="E4" s="15" t="str"/>
      <x:c r="F4" s="15" t="str"/>
      <x:c r="G4" s="15" t="str"/>
      <x:c r="H4" s="15" t="str"/>
      <x:c r="I4" s="15" t="str"/>
      <x:c r="J4" s="15" t="str"/>
      <x:c r="K4" s="15" t="str"/>
      <x:c r="L4" s="15" t="str"/>
      <x:c r="M4" s="15" t="str"/>
      <x:c r="N4" s="15" t="str"/>
    </x:row>
    <x:row r="5">
      <x:c r="A5" t="str">
        <x:v>来源</x:v>
      </x:c>
      <x:c r="B5" t="str">
        <x:v>Source</x:v>
      </x:c>
      <x:c r="C5" s="12" t="str">
        <x:v>source</x:v>
      </x:c>
      <x:c r="D5" s="9" t="str">
        <x:v>可空；空白/new=手填；common=调用后台常用人员</x:v>
      </x:c>
      <x:c r="E5" s="15" t="str"/>
      <x:c r="F5" s="15" t="str"/>
      <x:c r="G5" s="15" t="str"/>
      <x:c r="H5" s="15" t="str"/>
      <x:c r="I5" s="15" t="str"/>
      <x:c r="J5" s="15" t="str"/>
      <x:c r="K5" s="15" t="str"/>
      <x:c r="L5" s="15" t="str"/>
      <x:c r="M5" s="15" t="str"/>
      <x:c r="N5" s="15" t="str"/>
    </x:row>
    <x:row r="6">
      <x:c r="A6" t="str">
        <x:v>常用人员名称</x:v>
      </x:c>
      <x:c r="B6" t="str">
        <x:v>Common person</x:v>
      </x:c>
      <x:c r="C6" s="12" t="str">
        <x:v>common_person_name</x:v>
      </x:c>
      <x:c r="D6" s="9" t="str">
        <x:v>source=common 时填写后台保存的名称；常用人员资料和默认身份由后台补</x:v>
      </x:c>
      <x:c r="E6" s="15" t="str"/>
      <x:c r="F6" s="15" t="str"/>
      <x:c r="G6" s="15" t="str"/>
      <x:c r="H6" s="15" t="str"/>
      <x:c r="I6" s="15" t="str"/>
      <x:c r="J6" s="15" t="str"/>
      <x:c r="K6" s="15" t="str"/>
      <x:c r="L6" s="15" t="str"/>
      <x:c r="M6" s="15" t="str"/>
      <x:c r="N6" s="15" t="str"/>
    </x:row>
    <x:row r="7">
      <x:c r="A7" t="str">
        <x:v>英文姓名</x:v>
      </x:c>
      <x:c r="B7" t="str">
        <x:v>Full name</x:v>
      </x:c>
      <x:c r="C7" s="12" t="str">
        <x:v>full_name</x:v>
      </x:c>
      <x:c r="D7" s="9" t="str">
        <x:v>只填正式英文姓名；不要写 Director/Shareholder/客户董事等身份说明；调用常用人员时可空</x:v>
      </x:c>
      <x:c r="E7" s="15" t="str"/>
      <x:c r="F7" s="15" t="str"/>
      <x:c r="G7" s="15" t="str"/>
      <x:c r="H7" s="15" t="str"/>
      <x:c r="I7" s="15" t="str"/>
      <x:c r="J7" s="15" t="str"/>
      <x:c r="K7" s="15" t="str"/>
      <x:c r="L7" s="15" t="str"/>
      <x:c r="M7" s="15" t="str"/>
      <x:c r="N7" s="15" t="str"/>
    </x:row>
    <x:row r="8">
      <x:c r="A8" t="str">
        <x:v>证件类型</x:v>
      </x:c>
      <x:c r="B8" t="str">
        <x:v>ID type</x:v>
      </x:c>
      <x:c r="C8" s="12" t="str">
        <x:v>id_type</x:v>
      </x:c>
      <x:c r="D8" s="9" t="str">
        <x:v>Passport / NRIC / FIN</x:v>
      </x:c>
      <x:c r="E8" s="15" t="str"/>
      <x:c r="F8" s="15" t="str"/>
      <x:c r="G8" s="15" t="str"/>
      <x:c r="H8" s="15" t="str"/>
      <x:c r="I8" s="15" t="str"/>
      <x:c r="J8" s="15" t="str"/>
      <x:c r="K8" s="15" t="str"/>
      <x:c r="L8" s="15" t="str"/>
      <x:c r="M8" s="15" t="str"/>
      <x:c r="N8" s="15" t="str"/>
    </x:row>
    <x:row r="9">
      <x:c r="A9" t="str">
        <x:v>证件号</x:v>
      </x:c>
      <x:c r="B9" t="str">
        <x:v>ID number</x:v>
      </x:c>
      <x:c r="C9" s="12" t="str">
        <x:v>id_number</x:v>
      </x:c>
      <x:c r="D9" s="9" t="str"/>
      <x:c r="E9" s="15" t="str"/>
      <x:c r="F9" s="15" t="str"/>
      <x:c r="G9" s="15" t="str"/>
      <x:c r="H9" s="15" t="str"/>
      <x:c r="I9" s="15" t="str"/>
      <x:c r="J9" s="15" t="str"/>
      <x:c r="K9" s="15" t="str"/>
      <x:c r="L9" s="15" t="str"/>
      <x:c r="M9" s="15" t="str"/>
      <x:c r="N9" s="15" t="str"/>
    </x:row>
    <x:row r="10">
      <x:c r="A10" t="str">
        <x:v>国籍</x:v>
      </x:c>
      <x:c r="B10" t="str">
        <x:v>Nationality</x:v>
      </x:c>
      <x:c r="C10" s="12" t="str">
        <x:v>nationality</x:v>
      </x:c>
      <x:c r="D10" s="9" t="str"/>
      <x:c r="E10" s="15" t="str"/>
      <x:c r="F10" s="15" t="str"/>
      <x:c r="G10" s="15" t="str"/>
      <x:c r="H10" s="15" t="str"/>
      <x:c r="I10" s="15" t="str"/>
      <x:c r="J10" s="15" t="str"/>
      <x:c r="K10" s="15" t="str"/>
      <x:c r="L10" s="15" t="str"/>
      <x:c r="M10" s="15" t="str"/>
      <x:c r="N10" s="15" t="str"/>
    </x:row>
    <x:row r="11">
      <x:c r="A11" t="str">
        <x:v>出生日期</x:v>
      </x:c>
      <x:c r="B11" t="str">
        <x:v>Date of birth</x:v>
      </x:c>
      <x:c r="C11" s="12" t="str">
        <x:v>date_of_birth</x:v>
      </x:c>
      <x:c r="D11" s="9" t="str">
        <x:v>DD/MM/YYYY，可空</x:v>
      </x:c>
      <x:c r="E11" s="15" t="str"/>
      <x:c r="F11" s="15" t="str"/>
      <x:c r="G11" s="15" t="str"/>
      <x:c r="H11" s="15" t="str"/>
      <x:c r="I11" s="15" t="str"/>
      <x:c r="J11" s="15" t="str"/>
      <x:c r="K11" s="15" t="str"/>
      <x:c r="L11" s="15" t="str"/>
      <x:c r="M11" s="15" t="str"/>
      <x:c r="N11" s="15" t="str"/>
    </x:row>
    <x:row r="12">
      <x:c r="A12" t="str">
        <x:v>住址</x:v>
      </x:c>
      <x:c r="B12" t="str">
        <x:v>Residential address</x:v>
      </x:c>
      <x:c r="C12" s="12" t="str">
        <x:v>residential_address</x:v>
      </x:c>
      <x:c r="D12" s="9" t="str">
        <x:v>长地址可换行</x:v>
      </x:c>
      <x:c r="E12" s="15" t="str"/>
      <x:c r="F12" s="15" t="str"/>
      <x:c r="G12" s="15" t="str"/>
      <x:c r="H12" s="15" t="str"/>
      <x:c r="I12" s="15" t="str"/>
      <x:c r="J12" s="15" t="str"/>
      <x:c r="K12" s="15" t="str"/>
      <x:c r="L12" s="15" t="str"/>
      <x:c r="M12" s="15" t="str"/>
      <x:c r="N12" s="15" t="str"/>
    </x:row>
    <x:row r="13">
      <x:c r="A13" t="str">
        <x:v>邮箱</x:v>
      </x:c>
      <x:c r="B13" t="str">
        <x:v>Email</x:v>
      </x:c>
      <x:c r="C13" s="12" t="str">
        <x:v>email</x:v>
      </x:c>
      <x:c r="D13" s="9" t="str"/>
      <x:c r="E13" s="15" t="str"/>
      <x:c r="F13" s="15" t="str"/>
      <x:c r="G13" s="15" t="str"/>
      <x:c r="H13" s="15" t="str"/>
      <x:c r="I13" s="15" t="str"/>
      <x:c r="J13" s="15" t="str"/>
      <x:c r="K13" s="15" t="str"/>
      <x:c r="L13" s="15" t="str"/>
      <x:c r="M13" s="15" t="str"/>
      <x:c r="N13" s="15" t="str"/>
    </x:row>
    <x:row r="14">
      <x:c r="A14" t="str">
        <x:v>电话</x:v>
      </x:c>
      <x:c r="B14" t="str">
        <x:v>Phone</x:v>
      </x:c>
      <x:c r="C14" s="12" t="str">
        <x:v>phone</x:v>
      </x:c>
      <x:c r="D14" s="9" t="str"/>
      <x:c r="E14" s="15" t="str"/>
      <x:c r="F14" s="15" t="str"/>
      <x:c r="G14" s="15" t="str"/>
      <x:c r="H14" s="15" t="str"/>
      <x:c r="I14" s="15" t="str"/>
      <x:c r="J14" s="15" t="str"/>
      <x:c r="K14" s="15" t="str"/>
      <x:c r="L14" s="15" t="str"/>
      <x:c r="M14" s="15" t="str"/>
      <x:c r="N14" s="15" t="str"/>
    </x:row>
    <x:row r="15">
      <x:c r="A15" t="str">
        <x:v>是否董事</x:v>
      </x:c>
      <x:c r="B15" t="str">
        <x:v>Director</x:v>
      </x:c>
      <x:c r="C15" s="12" t="str">
        <x:v>is_director</x:v>
      </x:c>
      <x:c r="D15" s="9" t="str">
        <x:v>可空=Auto；客户董事建议填 Yes；常用挂名董事可留空由后台判断</x:v>
      </x:c>
      <x:c r="E15" s="15" t="str"/>
      <x:c r="F15" s="15" t="str"/>
      <x:c r="G15" s="15" t="str"/>
      <x:c r="H15" s="15" t="str"/>
      <x:c r="I15" s="15" t="str"/>
      <x:c r="J15" s="15" t="str"/>
      <x:c r="K15" s="15" t="str"/>
      <x:c r="L15" s="15" t="str"/>
      <x:c r="M15" s="15" t="str"/>
      <x:c r="N15" s="15" t="str"/>
    </x:row>
    <x:row r="16">
      <x:c r="A16" t="str">
        <x:v>是否本地居民董事</x:v>
      </x:c>
      <x:c r="B16" t="str">
        <x:v>Local resident director</x:v>
      </x:c>
      <x:c r="C16" s="12" t="str">
        <x:v>is_local_resident_director</x:v>
      </x:c>
      <x:c r="D16" s="9" t="str">
        <x:v>通常留空=Auto；常用挂名董事由后台判断，只有手填本地董事/覆盖时选 Yes/No</x:v>
      </x:c>
      <x:c r="E16" s="15" t="str"/>
      <x:c r="F16" s="15" t="str"/>
      <x:c r="G16" s="15" t="str"/>
      <x:c r="H16" s="15" t="str"/>
      <x:c r="I16" s="15" t="str"/>
      <x:c r="J16" s="15" t="str"/>
      <x:c r="K16" s="15" t="str"/>
      <x:c r="L16" s="15" t="str"/>
      <x:c r="M16" s="15" t="str"/>
      <x:c r="N16" s="15" t="str"/>
    </x:row>
    <x:row r="17">
      <x:c r="A17" t="str">
        <x:v>是否挂名董事</x:v>
      </x:c>
      <x:c r="B17" t="str">
        <x:v>Nominee director</x:v>
      </x:c>
      <x:c r="C17" s="12" t="str">
        <x:v>is_nominee_director</x:v>
      </x:c>
      <x:c r="D17" s="9" t="str">
        <x:v>通常留空=Auto；常用挂名董事由后台判断，客户董事不用点 No</x:v>
      </x:c>
      <x:c r="E17" s="15" t="str"/>
      <x:c r="F17" s="15" t="str"/>
      <x:c r="G17" s="15" t="str"/>
      <x:c r="H17" s="15" t="str"/>
      <x:c r="I17" s="15" t="str"/>
      <x:c r="J17" s="15" t="str"/>
      <x:c r="K17" s="15" t="str"/>
      <x:c r="L17" s="15" t="str"/>
      <x:c r="M17" s="15" t="str"/>
      <x:c r="N17" s="15" t="str"/>
    </x:row>
    <x:row r="18">
      <x:c r="A18" t="str">
        <x:v>是否秘书</x:v>
      </x:c>
      <x:c r="B18" t="str">
        <x:v>Secretary</x:v>
      </x:c>
      <x:c r="C18" s="12" t="str">
        <x:v>is_secretary</x:v>
      </x:c>
      <x:c r="D18" s="9" t="str">
        <x:v>通常留空=Auto；常用秘书由后台判断，手填秘书才选 Yes</x:v>
      </x:c>
      <x:c r="E18" s="15" t="str"/>
      <x:c r="F18" s="15" t="str"/>
      <x:c r="G18" s="15" t="str"/>
      <x:c r="H18" s="15" t="str"/>
      <x:c r="I18" s="15" t="str"/>
      <x:c r="J18" s="15" t="str"/>
      <x:c r="K18" s="15" t="str"/>
      <x:c r="L18" s="15" t="str"/>
      <x:c r="M18" s="15" t="str"/>
      <x:c r="N18" s="15" t="str"/>
    </x:row>
    <x:row r="19">
      <x:c r="A19" t="str">
        <x:v>是否股东</x:v>
      </x:c>
      <x:c r="B19" t="str">
        <x:v>Shareholder</x:v>
      </x:c>
      <x:c r="C19" s="12" t="str">
        <x:v>is_shareholder</x:v>
      </x:c>
      <x:c r="D19" s="9" t="str">
        <x:v>通常留空=Auto；系统按“股东与股份”页自动判断</x:v>
      </x:c>
      <x:c r="E19" s="15" t="str"/>
      <x:c r="F19" s="15" t="str"/>
      <x:c r="G19" s="15" t="str"/>
      <x:c r="H19" s="15" t="str"/>
      <x:c r="I19" s="15" t="str"/>
      <x:c r="J19" s="15" t="str"/>
      <x:c r="K19" s="15" t="str"/>
      <x:c r="L19" s="15" t="str"/>
      <x:c r="M19" s="15" t="str"/>
      <x:c r="N19" s="15" t="str"/>
    </x:row>
    <x:row r="20">
      <x:c r="A20" t="str">
        <x:v>是否授权代表</x:v>
      </x:c>
      <x:c r="B20" t="str">
        <x:v>Authorised rep</x:v>
      </x:c>
      <x:c r="C20" s="12" t="str">
        <x:v>is_authorized_rep</x:v>
      </x:c>
      <x:c r="D20" s="9" t="str">
        <x:v>通常留空=Auto；企业股东授权代表才需要填 Yes</x:v>
      </x:c>
      <x:c r="E20" s="15" t="str"/>
      <x:c r="F20" s="15" t="str"/>
      <x:c r="G20" s="15" t="str"/>
      <x:c r="H20" s="15" t="str"/>
      <x:c r="I20" s="15" t="str"/>
      <x:c r="J20" s="15" t="str"/>
      <x:c r="K20" s="15" t="str"/>
      <x:c r="L20" s="15" t="str"/>
      <x:c r="M20" s="15" t="str"/>
      <x:c r="N20" s="15" t="str"/>
    </x:row>
    <x:row r="21">
      <x:c r="A21" t="str">
        <x:v>是否需要签字</x:v>
      </x:c>
      <x:c r="B21" t="str">
        <x:v>Signing required</x:v>
      </x:c>
      <x:c r="C21" s="12" t="str">
        <x:v>signing_required</x:v>
      </x:c>
      <x:c r="D21" s="9" t="str">
        <x:v>通常留空=Auto；系统按文件类型和人员身份判断；客户协议指定签字人请填公司信息页 client_signatory_person_id</x:v>
      </x:c>
      <x:c r="E21" s="15" t="str"/>
      <x:c r="F21" s="15" t="str"/>
      <x:c r="G21" s="15" t="str"/>
      <x:c r="H21" s="15" t="str"/>
      <x:c r="I21" s="15" t="str"/>
      <x:c r="J21" s="15" t="str"/>
      <x:c r="K21" s="15" t="str"/>
      <x:c r="L21" s="15" t="str"/>
      <x:c r="M21" s="15" t="str"/>
      <x:c r="N21" s="15" t="str"/>
    </x:row>
    <x:row r="22">
      <x:c r="A22" t="str">
        <x:v>任命/文件日期</x:v>
      </x:c>
      <x:c r="B22" t="str">
        <x:v>Appointment/document date (system)</x:v>
      </x:c>
      <x:c r="C22" s="12" t="str">
        <x:v>appointment_date</x:v>
      </x:c>
      <x:c r="D22" s="9" t="str">
        <x:v>可空；P1 生成时统一使用注册日期，通常不用单独填写</x:v>
      </x:c>
      <x:c r="E22" s="15" t="str"/>
      <x:c r="F22" s="15" t="str"/>
      <x:c r="G22" s="15" t="str"/>
      <x:c r="H22" s="15" t="str"/>
      <x:c r="I22" s="15" t="str"/>
      <x:c r="J22" s="15" t="str"/>
      <x:c r="K22" s="15" t="str"/>
      <x:c r="L22" s="15" t="str"/>
      <x:c r="M22" s="15" t="str"/>
      <x:c r="N22" s="15" t="str"/>
    </x:row>
    <x:row r="23">
      <x:c r="A23" t="str">
        <x:v>备注</x:v>
      </x:c>
      <x:c r="B23" t="str">
        <x:v>Remarks</x:v>
      </x:c>
      <x:c r="C23" s="12" t="str">
        <x:v>remarks</x:v>
      </x:c>
      <x:c r="D23" s="9" t="str"/>
      <x:c r="E23" s="15" t="str"/>
      <x:c r="F23" s="15" t="str"/>
      <x:c r="G23" s="15" t="str"/>
      <x:c r="H23" s="15" t="str"/>
      <x:c r="I23" s="15" t="str"/>
      <x:c r="J23" s="15" t="str"/>
      <x:c r="K23" s="15" t="str"/>
      <x:c r="L23" s="15" t="str"/>
      <x:c r="M23" s="15" t="str"/>
      <x:c r="N23" s="15" t="str"/>
    </x:row>
  </x:sheetData>
  <x:mergeCells>
    <x:mergeCell ref="A1:N1"/>
  </x:mergeCells>
  <x:dataValidations count="2">
    <x:dataValidation type="list" sqref="E5:N5">
      <x:formula1>"new,common"</x:formula1>
    </x:dataValidation>
    <x:dataValidation type="list" sqref="E15:N21">
      <x:formula1>"Auto,Yes,No"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26.25" hidden="0" customWidth="1"/>
    <x:col min="3" max="3" width="25" hidden="0" customWidth="1"/>
    <x:col min="4" max="4" width="37.5" hidden="0" customWidth="1"/>
    <x:col min="5" max="5" width="23.75" hidden="0" customWidth="1"/>
    <x:col min="6" max="6" width="23.75" hidden="0" customWidth="1"/>
    <x:col min="7" max="7" width="23.75" hidden="0" customWidth="1"/>
    <x:col min="8" max="8" width="23.75" hidden="0" customWidth="1"/>
    <x:col min="9" max="9" width="23.75" hidden="0" customWidth="1"/>
    <x:col min="10" max="10" width="23.75" hidden="0" customWidth="1"/>
    <x:col min="11" max="11" width="23.75" hidden="0" customWidth="1"/>
    <x:col min="12" max="12" width="23.75" hidden="0" customWidth="1"/>
    <x:col min="13" max="13" width="23.75" hidden="0" customWidth="1"/>
    <x:col min="14" max="14" width="23.75" hidden="0" customWidth="1"/>
  </x:cols>
  <x:sheetData>
    <x:row r="1">
      <x:c r="A1" s="3" t="str">
        <x:v>股东与股份 Shareholders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3">
      <x:c r="A3" s="6" t="str">
        <x:v>项目</x:v>
      </x:c>
      <x:c r="B3" s="6" t="str">
        <x:v>English</x:v>
      </x:c>
      <x:c r="C3" s="6" t="str">
        <x:v>field_key</x:v>
      </x:c>
      <x:c r="D3" s="6" t="str">
        <x:v>说明</x:v>
      </x:c>
      <x:c r="E3" s="6" t="str">
        <x:v>股东1</x:v>
      </x:c>
      <x:c r="F3" s="6" t="str">
        <x:v>股东2</x:v>
      </x:c>
      <x:c r="G3" s="6" t="str">
        <x:v>股东3</x:v>
      </x:c>
      <x:c r="H3" s="6" t="str">
        <x:v>股东4</x:v>
      </x:c>
      <x:c r="I3" s="6" t="str">
        <x:v>股东5</x:v>
      </x:c>
      <x:c r="J3" s="6" t="str">
        <x:v>股东6</x:v>
      </x:c>
      <x:c r="K3" s="6" t="str">
        <x:v>股东7</x:v>
      </x:c>
      <x:c r="L3" s="6" t="str">
        <x:v>股东8</x:v>
      </x:c>
      <x:c r="M3" s="6" t="str">
        <x:v>股东9</x:v>
      </x:c>
      <x:c r="N3" s="6" t="str">
        <x:v>股东10</x:v>
      </x:c>
    </x:row>
    <x:row r="4">
      <x:c r="A4" t="str">
        <x:v>股东类型</x:v>
      </x:c>
      <x:c r="B4" t="str">
        <x:v>Shareholder type</x:v>
      </x:c>
      <x:c r="C4" s="12" t="str">
        <x:v>shareholder_type</x:v>
      </x:c>
      <x:c r="D4" s="9" t="str">
        <x:v>person / corporate</x:v>
      </x:c>
      <x:c r="E4" s="15" t="str"/>
      <x:c r="F4" s="15" t="str"/>
      <x:c r="G4" s="15" t="str"/>
      <x:c r="H4" s="15" t="str"/>
      <x:c r="I4" s="15" t="str"/>
      <x:c r="J4" s="15" t="str"/>
      <x:c r="K4" s="15" t="str"/>
      <x:c r="L4" s="15" t="str"/>
      <x:c r="M4" s="15" t="str"/>
      <x:c r="N4" s="15" t="str"/>
    </x:row>
    <x:row r="5">
      <x:c r="A5" t="str">
        <x:v>自然人股东姓名</x:v>
      </x:c>
      <x:c r="B5" t="str">
        <x:v>Person shareholder name</x:v>
      </x:c>
      <x:c r="C5" s="12" t="str">
        <x:v>person_full_name</x:v>
      </x:c>
      <x:c r="D5" s="9" t="str">
        <x:v>自然人股东填写，应和人员信息匹配</x:v>
      </x:c>
      <x:c r="E5" s="15" t="str"/>
      <x:c r="F5" s="15" t="str"/>
      <x:c r="G5" s="15" t="str"/>
      <x:c r="H5" s="15" t="str"/>
      <x:c r="I5" s="15" t="str"/>
      <x:c r="J5" s="15" t="str"/>
      <x:c r="K5" s="15" t="str"/>
      <x:c r="L5" s="15" t="str"/>
      <x:c r="M5" s="15" t="str"/>
      <x:c r="N5" s="15" t="str"/>
    </x:row>
    <x:row r="6">
      <x:c r="A6" t="str">
        <x:v>自然人证件号</x:v>
      </x:c>
      <x:c r="B6" t="str">
        <x:v>Person ID number</x:v>
      </x:c>
      <x:c r="C6" s="12" t="str">
        <x:v>person_id_number</x:v>
      </x:c>
      <x:c r="D6" s="9" t="str">
        <x:v>用于匹配人员信息</x:v>
      </x:c>
      <x:c r="E6" s="15" t="str"/>
      <x:c r="F6" s="15" t="str"/>
      <x:c r="G6" s="15" t="str"/>
      <x:c r="H6" s="15" t="str"/>
      <x:c r="I6" s="15" t="str"/>
      <x:c r="J6" s="15" t="str"/>
      <x:c r="K6" s="15" t="str"/>
      <x:c r="L6" s="15" t="str"/>
      <x:c r="M6" s="15" t="str"/>
      <x:c r="N6" s="15" t="str"/>
    </x:row>
    <x:row r="7">
      <x:c r="A7" t="str">
        <x:v>企业股东名称</x:v>
      </x:c>
      <x:c r="B7" t="str">
        <x:v>Corporate shareholder name</x:v>
      </x:c>
      <x:c r="C7" s="12" t="str">
        <x:v>corporate_name</x:v>
      </x:c>
      <x:c r="D7" s="9" t="str">
        <x:v>企业股东填写</x:v>
      </x:c>
      <x:c r="E7" s="15" t="str"/>
      <x:c r="F7" s="15" t="str"/>
      <x:c r="G7" s="15" t="str"/>
      <x:c r="H7" s="15" t="str"/>
      <x:c r="I7" s="15" t="str"/>
      <x:c r="J7" s="15" t="str"/>
      <x:c r="K7" s="15" t="str"/>
      <x:c r="L7" s="15" t="str"/>
      <x:c r="M7" s="15" t="str"/>
      <x:c r="N7" s="15" t="str"/>
    </x:row>
    <x:row r="8">
      <x:c r="A8" t="str">
        <x:v>企业注册地</x:v>
      </x:c>
      <x:c r="B8" t="str">
        <x:v>Corporate registration country</x:v>
      </x:c>
      <x:c r="C8" s="12" t="str">
        <x:v>corporate_registration_country</x:v>
      </x:c>
      <x:c r="D8" s="9" t="str"/>
      <x:c r="E8" s="15" t="str"/>
      <x:c r="F8" s="15" t="str"/>
      <x:c r="G8" s="15" t="str"/>
      <x:c r="H8" s="15" t="str"/>
      <x:c r="I8" s="15" t="str"/>
      <x:c r="J8" s="15" t="str"/>
      <x:c r="K8" s="15" t="str"/>
      <x:c r="L8" s="15" t="str"/>
      <x:c r="M8" s="15" t="str"/>
      <x:c r="N8" s="15" t="str"/>
    </x:row>
    <x:row r="9">
      <x:c r="A9" t="str">
        <x:v>企业注册号</x:v>
      </x:c>
      <x:c r="B9" t="str">
        <x:v>Corporate registration no.</x:v>
      </x:c>
      <x:c r="C9" s="12" t="str">
        <x:v>corporate_registration_number</x:v>
      </x:c>
      <x:c r="D9" s="9" t="str"/>
      <x:c r="E9" s="15" t="str"/>
      <x:c r="F9" s="15" t="str"/>
      <x:c r="G9" s="15" t="str"/>
      <x:c r="H9" s="15" t="str"/>
      <x:c r="I9" s="15" t="str"/>
      <x:c r="J9" s="15" t="str"/>
      <x:c r="K9" s="15" t="str"/>
      <x:c r="L9" s="15" t="str"/>
      <x:c r="M9" s="15" t="str"/>
      <x:c r="N9" s="15" t="str"/>
    </x:row>
    <x:row r="10">
      <x:c r="A10" t="str">
        <x:v>企业注册地址</x:v>
      </x:c>
      <x:c r="B10" t="str">
        <x:v>Corporate registered address</x:v>
      </x:c>
      <x:c r="C10" s="12" t="str">
        <x:v>corporate_registered_address</x:v>
      </x:c>
      <x:c r="D10" s="9" t="str"/>
      <x:c r="E10" s="15" t="str"/>
      <x:c r="F10" s="15" t="str"/>
      <x:c r="G10" s="15" t="str"/>
      <x:c r="H10" s="15" t="str"/>
      <x:c r="I10" s="15" t="str"/>
      <x:c r="J10" s="15" t="str"/>
      <x:c r="K10" s="15" t="str"/>
      <x:c r="L10" s="15" t="str"/>
      <x:c r="M10" s="15" t="str"/>
      <x:c r="N10" s="15" t="str"/>
    </x:row>
    <x:row r="11">
      <x:c r="A11" t="str">
        <x:v>企业授权代表</x:v>
      </x:c>
      <x:c r="B11" t="str">
        <x:v>Authorised representative</x:v>
      </x:c>
      <x:c r="C11" s="12" t="str">
        <x:v>authorized_rep_full_name</x:v>
      </x:c>
      <x:c r="D11" s="9" t="str">
        <x:v>企业股东建议填写</x:v>
      </x:c>
      <x:c r="E11" s="15" t="str"/>
      <x:c r="F11" s="15" t="str"/>
      <x:c r="G11" s="15" t="str"/>
      <x:c r="H11" s="15" t="str"/>
      <x:c r="I11" s="15" t="str"/>
      <x:c r="J11" s="15" t="str"/>
      <x:c r="K11" s="15" t="str"/>
      <x:c r="L11" s="15" t="str"/>
      <x:c r="M11" s="15" t="str"/>
      <x:c r="N11" s="15" t="str"/>
    </x:row>
    <x:row r="12">
      <x:c r="A12" t="str">
        <x:v>股份类别</x:v>
      </x:c>
      <x:c r="B12" t="str">
        <x:v>Share class</x:v>
      </x:c>
      <x:c r="C12" s="12" t="str">
        <x:v>share_class</x:v>
      </x:c>
      <x:c r="D12" s="9" t="str">
        <x:v>留空默认 Ordinary</x:v>
      </x:c>
      <x:c r="E12" s="15" t="str"/>
      <x:c r="F12" s="15" t="str"/>
      <x:c r="G12" s="15" t="str"/>
      <x:c r="H12" s="15" t="str"/>
      <x:c r="I12" s="15" t="str"/>
      <x:c r="J12" s="15" t="str"/>
      <x:c r="K12" s="15" t="str"/>
      <x:c r="L12" s="15" t="str"/>
      <x:c r="M12" s="15" t="str"/>
      <x:c r="N12" s="15" t="str"/>
    </x:row>
    <x:row r="13">
      <x:c r="A13" t="str">
        <x:v>股数</x:v>
      </x:c>
      <x:c r="B13" t="str">
        <x:v>Shares</x:v>
      </x:c>
      <x:c r="C13" s="12" t="str">
        <x:v>shares</x:v>
      </x:c>
      <x:c r="D13" s="9" t="str">
        <x:v>必填</x:v>
      </x:c>
      <x:c r="E13" s="15" t="str"/>
      <x:c r="F13" s="15" t="str"/>
      <x:c r="G13" s="15" t="str"/>
      <x:c r="H13" s="15" t="str"/>
      <x:c r="I13" s="15" t="str"/>
      <x:c r="J13" s="15" t="str"/>
      <x:c r="K13" s="15" t="str"/>
      <x:c r="L13" s="15" t="str"/>
      <x:c r="M13" s="15" t="str"/>
      <x:c r="N13" s="15" t="str"/>
    </x:row>
    <x:row r="14">
      <x:c r="A14" t="str">
        <x:v>已发行股本</x:v>
      </x:c>
      <x:c r="B14" t="str">
        <x:v>Issued share capital</x:v>
      </x:c>
      <x:c r="C14" s="12" t="str">
        <x:v>issued_share_capital</x:v>
      </x:c>
      <x:c r="D14" s="9" t="str">
        <x:v>通常留空=股数 1:1；如 100万股每股1，填 1,000,000</x:v>
      </x:c>
      <x:c r="E14" s="15" t="str"/>
      <x:c r="F14" s="15" t="str"/>
      <x:c r="G14" s="15" t="str"/>
      <x:c r="H14" s="15" t="str"/>
      <x:c r="I14" s="15" t="str"/>
      <x:c r="J14" s="15" t="str"/>
      <x:c r="K14" s="15" t="str"/>
      <x:c r="L14" s="15" t="str"/>
      <x:c r="M14" s="15" t="str"/>
      <x:c r="N14" s="15" t="str"/>
    </x:row>
    <x:row r="15">
      <x:c r="A15" t="str">
        <x:v>实缴股本</x:v>
      </x:c>
      <x:c r="B15" t="str">
        <x:v>Paid-up share capital</x:v>
      </x:c>
      <x:c r="C15" s="12" t="str">
        <x:v>paid_amount</x:v>
      </x:c>
      <x:c r="D15" s="9" t="str">
        <x:v>通常留空=已发行股本；如 issued 1,000,000 但实缴 1，则填 1</x:v>
      </x:c>
      <x:c r="E15" s="15" t="str"/>
      <x:c r="F15" s="15" t="str"/>
      <x:c r="G15" s="15" t="str"/>
      <x:c r="H15" s="15" t="str"/>
      <x:c r="I15" s="15" t="str"/>
      <x:c r="J15" s="15" t="str"/>
      <x:c r="K15" s="15" t="str"/>
      <x:c r="L15" s="15" t="str"/>
      <x:c r="M15" s="15" t="str"/>
      <x:c r="N15" s="15" t="str"/>
    </x:row>
    <x:row r="16">
      <x:c r="A16" t="str">
        <x:v>币种</x:v>
      </x:c>
      <x:c r="B16" t="str">
        <x:v>Currency</x:v>
      </x:c>
      <x:c r="C16" s="12" t="str">
        <x:v>currency</x:v>
      </x:c>
      <x:c r="D16" s="9" t="str">
        <x:v>留空默认 SGD</x:v>
      </x:c>
      <x:c r="E16" s="15" t="str"/>
      <x:c r="F16" s="15" t="str"/>
      <x:c r="G16" s="15" t="str"/>
      <x:c r="H16" s="15" t="str"/>
      <x:c r="I16" s="15" t="str"/>
      <x:c r="J16" s="15" t="str"/>
      <x:c r="K16" s="15" t="str"/>
      <x:c r="L16" s="15" t="str"/>
      <x:c r="M16" s="15" t="str"/>
      <x:c r="N16" s="15" t="str"/>
    </x:row>
    <x:row r="17">
      <x:c r="A17" t="str">
        <x:v>证书编号覆盖</x:v>
      </x:c>
      <x:c r="B17" t="str">
        <x:v>Certificate no. override</x:v>
      </x:c>
      <x:c r="C17" s="12" t="str">
        <x:v>certificate_no</x:v>
      </x:c>
      <x:c r="D17" s="9" t="str">
        <x:v>通常留空，系统自动编号</x:v>
      </x:c>
      <x:c r="E17" s="15" t="str"/>
      <x:c r="F17" s="15" t="str"/>
      <x:c r="G17" s="15" t="str"/>
      <x:c r="H17" s="15" t="str"/>
      <x:c r="I17" s="15" t="str"/>
      <x:c r="J17" s="15" t="str"/>
      <x:c r="K17" s="15" t="str"/>
      <x:c r="L17" s="15" t="str"/>
      <x:c r="M17" s="15" t="str"/>
      <x:c r="N17" s="15" t="str"/>
    </x:row>
    <x:row r="18">
      <x:c r="A18" t="str">
        <x:v>签署确认/系统保留</x:v>
      </x:c>
      <x:c r="B18" t="str">
        <x:v>Signing acknowledgement / system</x:v>
      </x:c>
      <x:c r="C18" s="12" t="str">
        <x:v>signing_required</x:v>
      </x:c>
      <x:c r="D18" s="9" t="str">
        <x:v>通常留空=Auto；系统按股东表生成股权证书、Form 24、RORC</x:v>
      </x:c>
      <x:c r="E18" s="15" t="str"/>
      <x:c r="F18" s="15" t="str"/>
      <x:c r="G18" s="15" t="str"/>
      <x:c r="H18" s="15" t="str"/>
      <x:c r="I18" s="15" t="str"/>
      <x:c r="J18" s="15" t="str"/>
      <x:c r="K18" s="15" t="str"/>
      <x:c r="L18" s="15" t="str"/>
      <x:c r="M18" s="15" t="str"/>
      <x:c r="N18" s="15" t="str"/>
    </x:row>
    <x:row r="19">
      <x:c r="A19" t="str">
        <x:v>备注</x:v>
      </x:c>
      <x:c r="B19" t="str">
        <x:v>Remarks</x:v>
      </x:c>
      <x:c r="C19" s="12" t="str">
        <x:v>remarks</x:v>
      </x:c>
      <x:c r="D19" s="9" t="str"/>
      <x:c r="E19" s="15" t="str"/>
      <x:c r="F19" s="15" t="str"/>
      <x:c r="G19" s="15" t="str"/>
      <x:c r="H19" s="15" t="str"/>
      <x:c r="I19" s="15" t="str"/>
      <x:c r="J19" s="15" t="str"/>
      <x:c r="K19" s="15" t="str"/>
      <x:c r="L19" s="15" t="str"/>
      <x:c r="M19" s="15" t="str"/>
      <x:c r="N19" s="15" t="str"/>
    </x:row>
  </x:sheetData>
  <x:mergeCells>
    <x:mergeCell ref="A1:N1"/>
  </x:mergeCells>
  <x:dataValidations count="1">
    <x:dataValidation type="list" sqref="E4:N4">
      <x:formula1>"person,corporate"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27.5" hidden="0" customWidth="1"/>
    <x:col min="3" max="3" width="26.25" hidden="0" customWidth="1"/>
    <x:col min="4" max="4" width="42.5" hidden="0" customWidth="1"/>
    <x:col min="5" max="5" width="13.75" hidden="0" customWidth="1"/>
    <x:col min="6" max="6" width="65" hidden="0" customWidth="1"/>
  </x:cols>
  <x:sheetData>
    <x:row r="1">
      <x:c r="A1" s="3" t="str">
        <x:v>输出设置 Output Options</x:v>
      </x:c>
      <x:c r="B1" s="3"/>
      <x:c r="C1" s="3"/>
      <x:c r="D1" s="3"/>
      <x:c r="E1" s="3"/>
      <x:c r="F1" s="3"/>
    </x:row>
    <x:row r="3">
      <x:c r="A3" s="6" t="str">
        <x:v>项目</x:v>
      </x:c>
      <x:c r="B3" s="6" t="str">
        <x:v>English</x:v>
      </x:c>
      <x:c r="C3" s="6" t="str">
        <x:v>field_key</x:v>
      </x:c>
      <x:c r="D3" s="6" t="str">
        <x:v>填写内容 / Value</x:v>
      </x:c>
      <x:c r="E3" s="6" t="str">
        <x:v>必填</x:v>
      </x:c>
      <x:c r="F3" s="6" t="str">
        <x:v>说明</x:v>
      </x:c>
    </x:row>
    <x:row r="4">
      <x:c r="A4" t="str">
        <x:v>文件包</x:v>
      </x:c>
      <x:c r="B4" t="str">
        <x:v>Package</x:v>
      </x:c>
      <x:c r="C4" s="12" t="str">
        <x:v>package</x:v>
      </x:c>
      <x:c r="D4" s="15" t="str">
        <x:v>INCORPORATION_BASIC</x:v>
      </x:c>
      <x:c r="E4" t="str">
        <x:v>系统使用</x:v>
      </x:c>
      <x:c r="F4" s="9"/>
    </x:row>
    <x:row r="5">
      <x:c r="A5" t="str">
        <x:v>输出格式</x:v>
      </x:c>
      <x:c r="B5" t="str">
        <x:v>Output format</x:v>
      </x:c>
      <x:c r="C5" s="12" t="str">
        <x:v>output_format</x:v>
      </x:c>
      <x:c r="D5" s="15" t="str">
        <x:v>docx_pdf_zip</x:v>
      </x:c>
      <x:c r="E5" t="str">
        <x:v>后续可统一只出 PDF</x:v>
      </x:c>
      <x:c r="F5" s="9"/>
    </x:row>
    <x:row r="6">
      <x:c r="A6" t="str">
        <x:v>经办人</x:v>
      </x:c>
      <x:c r="B6" t="str">
        <x:v>Prepared by</x:v>
      </x:c>
      <x:c r="C6" s="12" t="str">
        <x:v>prepared_by</x:v>
      </x:c>
      <x:c r="D6" s="15" t="str"/>
      <x:c r="E6" t="str">
        <x:v>可空</x:v>
      </x:c>
      <x:c r="F6" s="9"/>
    </x:row>
    <x:row r="7">
      <x:c r="A7" t="str">
        <x:v>签字模式</x:v>
      </x:c>
      <x:c r="B7" t="str">
        <x:v>Signing mode</x:v>
      </x:c>
      <x:c r="C7" s="12" t="str">
        <x:v>signing_mode</x:v>
      </x:c>
      <x:c r="D7" s="15" t="str">
        <x:v>default</x:v>
      </x:c>
      <x:c r="E7" t="str">
        <x:v>默认即可</x:v>
      </x:c>
      <x:c r="F7" s="9"/>
    </x:row>
    <x:row r="8">
      <x:c r="A8" t="str">
        <x:v>客户方签字默认</x:v>
      </x:c>
      <x:c r="B8" t="str">
        <x:v>Client signer default</x:v>
      </x:c>
      <x:c r="C8" s="12" t="str">
        <x:v>client_signatory_logic</x:v>
      </x:c>
      <x:c r="D8" s="15" t="str">
        <x:v>shareholder_1</x:v>
      </x:c>
      <x:c r="E8" t="str">
        <x:v>默认股东1；如公司信息填写 client_signatory_person_id，则优先用指定人员</x:v>
      </x:c>
      <x:c r="F8" s="9"/>
    </x:row>
    <x:row r="9">
      <x:c r="A9" t="str">
        <x:v>Form 24 生成方式</x:v>
      </x:c>
      <x:c r="B9" t="str">
        <x:v>Form 24 mode</x:v>
      </x:c>
      <x:c r="C9" s="12" t="str">
        <x:v>form24_mode</x:v>
      </x:c>
      <x:c r="D9" s="15" t="str">
        <x:v>one_company_file_all_shareholders</x:v>
      </x:c>
      <x:c r="E9" t="str">
        <x:v>一家公司一份，列全部股东</x:v>
      </x:c>
      <x:c r="F9" s="9"/>
    </x:row>
    <x:row r="10">
      <x:c r="A10" t="str">
        <x:v>股权证书董事签字</x:v>
      </x:c>
      <x:c r="B10" t="str">
        <x:v>Certificate director signer</x:v>
      </x:c>
      <x:c r="C10" s="12" t="str">
        <x:v>share_certificate_signing_director</x:v>
      </x:c>
      <x:c r="D10" s="15" t="str">
        <x:v>director_1</x:v>
      </x:c>
      <x:c r="E10" t="str">
        <x:v>默认第一个客户董事；后续可网页覆盖</x:v>
      </x:c>
      <x:c r="F10" s="9"/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75" hidden="0" customWidth="1"/>
    <x:col min="2" max="2" width="32.5" hidden="0" customWidth="1"/>
    <x:col min="3" max="3" width="47.5" hidden="0" customWidth="1"/>
    <x:col min="4" max="4" width="65" hidden="0" customWidth="1"/>
  </x:cols>
  <x:sheetData>
    <x:row r="1">
      <x:c r="A1" s="3" t="str">
        <x:v>自动核对 Auto Checks</x:v>
      </x:c>
      <x:c r="B1" s="3"/>
      <x:c r="C1" s="3"/>
      <x:c r="D1" s="3"/>
    </x:row>
    <x:row r="3">
      <x:c r="A3" s="6" t="str">
        <x:v>核对项</x:v>
      </x:c>
      <x:c r="B3" s="6" t="str">
        <x:v>系统读取/计算</x:v>
      </x:c>
      <x:c r="C3" s="6" t="str">
        <x:v>状态</x:v>
      </x:c>
      <x:c r="D3" s="6" t="str">
        <x:v>说明</x:v>
      </x:c>
    </x:row>
    <x:row r="4">
      <x:c r="A4" s="9" t="str">
        <x:v>股东页合计股数</x:v>
      </x:c>
      <x:c r="B4" s="9" t="n">
        <x:f>SUM('股东与股份'!E13:N13)</x:f>
        <x:v>0</x:v>
      </x:c>
      <x:c r="C4" s="9" t="str"/>
      <x:c r="D4" s="9" t="str">
        <x:v>来自“股东与股份”页的 Shares。</x:v>
      </x:c>
    </x:row>
    <x:row r="5">
      <x:c r="A5" s="9" t="str">
        <x:v>股东页合计已发行股本</x:v>
      </x:c>
      <x:c r="B5" s="9" t="n">
        <x:f>SUM('股东与股份'!E14:N14)</x:f>
        <x:v>0</x:v>
      </x:c>
      <x:c r="C5" s="9" t="str"/>
      <x:c r="D5" s="9" t="str">
        <x:v>来自“股东与股份”页的 Issued share capital。留空时网站默认按股数 1:1。</x:v>
      </x:c>
    </x:row>
    <x:row r="6">
      <x:c r="A6" s="9" t="str">
        <x:v>股东页合计实缴股本</x:v>
      </x:c>
      <x:c r="B6" s="9" t="n">
        <x:f>SUM('股东与股份'!E15:N15)</x:f>
        <x:v>0</x:v>
      </x:c>
      <x:c r="C6" s="9" t="str"/>
      <x:c r="D6" s="9" t="str">
        <x:v>来自“股东与股份”页的 Paid-up share capital。留空时网站默认等于已发行股本。</x:v>
      </x:c>
    </x:row>
    <x:row r="7">
      <x:c r="A7" s="9" t="str">
        <x:v>公司页备用股数</x:v>
      </x:c>
      <x:c r="B7" s="9" t="str">
        <x:f>'公司信息'!D19</x:f>
      </x:c>
      <x:c r="C7" s="9" t="str"/>
      <x:c r="D7" s="9" t="str">
        <x:v>通常留空；留空时系统使用股东页合计。</x:v>
      </x:c>
    </x:row>
    <x:row r="8">
      <x:c r="A8" s="9" t="str">
        <x:v>公司页备用已发行股本</x:v>
      </x:c>
      <x:c r="B8" s="9" t="str">
        <x:f>'公司信息'!D18</x:f>
      </x:c>
      <x:c r="C8" s="9" t="str"/>
      <x:c r="D8" s="9" t="str">
        <x:v>通常留空；留空时系统使用股东页合计。</x:v>
      </x:c>
    </x:row>
    <x:row r="9">
      <x:c r="A9" s="9" t="str">
        <x:v>公司页备用实缴股本</x:v>
      </x:c>
      <x:c r="B9" s="9" t="str">
        <x:f>'公司信息'!D20</x:f>
      </x:c>
      <x:c r="C9" s="9" t="str"/>
      <x:c r="D9" s="9" t="str">
        <x:v>通常留空；留空时系统使用股东页合计。</x:v>
      </x:c>
    </x:row>
    <x:row r="10">
      <x:c r="A10" s="9" t="str">
        <x:v>未缴股本提示</x:v>
      </x:c>
      <x:c r="B10" s="9" t="n">
        <x:f>MAX(0,SUM('股东与股份'!E14:N14)-SUM('股东与股份'!E15:N15))</x:f>
        <x:v>0</x:v>
      </x:c>
      <x:c r="C10" s="9" t="str">
        <x:f>IF(B10&gt;0,"需要复核：存在未缴股本","OK")</x:f>
        <x:v>OK</x:v>
      </x:c>
      <x:c r="D10" s="9" t="str">
        <x:v>例如 issued 1,000,000 / paid-up 1，会出现未缴股本。</x:v>
      </x:c>
    </x:row>
    <x:row r="11">
      <x:c r="A11" s="9" t="str">
        <x:v>股数一致性</x:v>
      </x:c>
      <x:c r="B11" s="9" t="str"/>
      <x:c r="C11" s="9" t="str">
        <x:f>IF('公司信息'!D19="","OK - 公司页留空，使用股东页合计",IF('公司信息'!D19=SUM('股东与股份'!E13:N13),"OK","请检查：公司页备用股数与股东页合计不一致"))</x:f>
        <x:v>OK - 公司页留空，使用股东页合计</x:v>
      </x:c>
      <x:c r="D11" s="9" t="str">
        <x:v>只有填写公司页备用股数时才需要一致。</x:v>
      </x:c>
    </x:row>
    <x:row r="12">
      <x:c r="A12" s="9" t="str">
        <x:v>已发行股本一致性</x:v>
      </x:c>
      <x:c r="B12" s="9" t="str"/>
      <x:c r="C12" s="9" t="str">
        <x:f>IF('公司信息'!D18="","OK - 公司页留空，使用股东页合计",IF('公司信息'!D18=SUM('股东与股份'!E14:N14),"OK","请检查：公司页备用已发行股本与股东页合计不一致"))</x:f>
        <x:v>OK - 公司页留空，使用股东页合计</x:v>
      </x:c>
      <x:c r="D12" s="9" t="str">
        <x:v>只有填写公司页备用已发行股本时才需要一致。</x:v>
      </x:c>
    </x:row>
    <x:row r="13">
      <x:c r="A13" s="9" t="str">
        <x:v>实缴一致性</x:v>
      </x:c>
      <x:c r="B13" s="9" t="str"/>
      <x:c r="C13" s="9" t="str">
        <x:f>IF('公司信息'!D20="","OK - 公司页留空，使用股东页合计",IF('公司信息'!D20=SUM('股东与股份'!E15:N15),"OK","请检查：公司页备用实缴股本与股东页合计不一致"))</x:f>
        <x:v>OK - 公司页留空，使用股东页合计</x:v>
      </x:c>
      <x:c r="D13" s="9" t="str">
        <x:v>只有填写公司页备用实缴股本时才需要一致。</x:v>
      </x:c>
    </x:row>
    <x:row r="14">
      <x:c r="A14" s="9" t="str">
        <x:v>客户协议签字人</x:v>
      </x:c>
      <x:c r="B14" s="9" t="str">
        <x:f>'公司信息'!D27</x:f>
      </x:c>
      <x:c r="C14" s="9" t="str">
        <x:f>IF('公司信息'!D27="","默认股东1","使用指定人员编号")</x:f>
        <x:v>默认股东1</x:v>
      </x:c>
      <x:c r="D14" s="9" t="str">
        <x:v>只影响秘书协议/挂名董事协议的客户方签字人。</x:v>
      </x:c>
    </x:row>
    <x:row r="15">
      <x:c r="A15" s="9" t="str">
        <x:v>注册日期</x:v>
      </x:c>
      <x:c r="B15" s="9" t="str">
        <x:f>'公司信息'!D9</x:f>
      </x:c>
      <x:c r="C15" s="9" t="str">
        <x:f>IF('公司信息'!D9="","建议填写注册日期","OK")</x:f>
        <x:v>建议填写注册日期</x:v>
      </x:c>
      <x:c r="D15" s="9" t="str">
        <x:v>P1 全套文件日期统一用注册日期。</x:v>
      </x:c>
    </x:row>
    <x:row r="16">
      <x:c r="A16" s="9" t="str">
        <x:v>备注</x:v>
      </x:c>
      <x:c r="B16" s="9" t="str"/>
      <x:c r="C16" s="9" t="str"/>
      <x:c r="D16" s="9" t="str">
        <x:v>本页只用于人工复核，不影响系统读取。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31.25" hidden="0" customWidth="1"/>
    <x:col min="3" max="3" width="52.5" hidden="0" customWidth="1"/>
    <x:col min="4" max="4" width="18.75" hidden="0" customWidth="1"/>
    <x:col min="5" max="5" width="45" hidden="0" customWidth="1"/>
  </x:cols>
  <x:sheetData>
    <x:row r="1">
      <x:c r="A1" s="3" t="str">
        <x:v>字段映射 Field Mapping</x:v>
      </x:c>
      <x:c r="B1" s="3"/>
      <x:c r="C1" s="3"/>
      <x:c r="D1" s="3"/>
      <x:c r="E1" s="3"/>
    </x:row>
    <x:row r="3">
      <x:c r="A3" s="6" t="str">
        <x:v>表格</x:v>
      </x:c>
      <x:c r="B3" s="6" t="str">
        <x:v>转换成系统数据</x:v>
      </x:c>
      <x:c r="C3" s="6" t="str">
        <x:v>读取方式</x:v>
      </x:c>
      <x:c r="D3" s="6" t="str">
        <x:v>用户是否填写</x:v>
      </x:c>
      <x:c r="E3" s="6" t="str">
        <x:v>备注</x:v>
      </x:c>
    </x:row>
    <x:row r="4">
      <x:c r="A4" s="9" t="str">
        <x:v>公司信息</x:v>
      </x:c>
      <x:c r="B4" s="9" t="str">
        <x:v>Company</x:v>
      </x:c>
      <x:c r="C4" s="9" t="str">
        <x:v>field_key + 填写内容</x:v>
      </x:c>
      <x:c r="D4" s="9" t="str">
        <x:v>Yes</x:v>
      </x:c>
      <x:c r="E4" s="9" t="str">
        <x:v>单一公司信息。</x:v>
      </x:c>
    </x:row>
    <x:row r="5">
      <x:c r="A5" s="9" t="str">
        <x:v>人员信息</x:v>
      </x:c>
      <x:c r="B5" s="9" t="str">
        <x:v>People</x:v>
      </x:c>
      <x:c r="C5" s="9" t="str">
        <x:v>field_key + 人员列；每一列是一名人员</x:v>
      </x:c>
      <x:c r="D5" s="9" t="str">
        <x:v>Yes</x:v>
      </x:c>
      <x:c r="E5" s="9" t="str">
        <x:v>转置后等同于旧版每人一行。</x:v>
      </x:c>
    </x:row>
    <x:row r="6">
      <x:c r="A6" s="9" t="str">
        <x:v>股东与股份</x:v>
      </x:c>
      <x:c r="B6" s="9" t="str">
        <x:v>Shareholders</x:v>
      </x:c>
      <x:c r="C6" s="9" t="str">
        <x:v>field_key + 股东列；每一列是一名股东</x:v>
      </x:c>
      <x:c r="D6" s="9" t="str">
        <x:v>Yes</x:v>
      </x:c>
      <x:c r="E6" s="9" t="str">
        <x:v>转置后等同于旧版每股东一行。</x:v>
      </x:c>
    </x:row>
    <x:row r="7">
      <x:c r="A7" s="9" t="str">
        <x:v>输出设置</x:v>
      </x:c>
      <x:c r="B7" s="9" t="str">
        <x:v>Generation</x:v>
      </x:c>
      <x:c r="C7" s="9" t="str">
        <x:v>field_key + 填写内容</x:v>
      </x:c>
      <x:c r="D7" s="9" t="str">
        <x:v>Optional</x:v>
      </x:c>
      <x:c r="E7" s="9" t="str">
        <x:v>大多数字段可不改。</x:v>
      </x:c>
    </x:row>
    <x:row r="8">
      <x:c r="A8" s="9" t="str">
        <x:v>旧版兼容</x:v>
      </x:c>
      <x:c r="B8" s="9" t="str">
        <x:v>Company / People / Shareholders / Generation</x:v>
      </x:c>
      <x:c r="C8" s="9" t="str">
        <x:v>旧横排标准表</x:v>
      </x:c>
      <x:c r="D8" s="9" t="str">
        <x:v>Yes</x:v>
      </x:c>
      <x:c r="E8" s="9" t="str">
        <x:v>仍然可上传。</x:v>
      </x:c>
    </x:row>
  </x:sheetData>
  <x:mergeCells>
    <x:mergeCell ref="A1:E1"/>
  </x:mergeCells>
  <x:pageMargins left="0.7" right="0.7" top="0.75" bottom="0.75" header="0.3" footer="0.3"/>
</x:worksheet>
</file>